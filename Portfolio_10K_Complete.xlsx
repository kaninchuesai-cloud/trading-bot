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sz val="11"/>
    </font>
    <font>
      <b val="1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92D050"/>
        <bgColor rgb="0092D050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2" fillId="6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5" fillId="8" borderId="0" pivotButton="0" quotePrefix="0" xfId="0"/>
    <xf numFmtId="0" fontId="6" fillId="9" borderId="0" pivotButton="0" quotePrefix="0" xfId="0"/>
    <xf numFmtId="0" fontId="6" fillId="5" borderId="0" pivotButton="0" quotePrefix="0" xfId="0"/>
    <xf numFmtId="4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PORTFOLIO TRACKER - 10,000 THB</t>
        </is>
      </c>
    </row>
    <row r="3">
      <c r="A3" s="2" t="inlineStr">
        <is>
          <t>CORE HOLDINGS (70% - 7,000 THB)</t>
        </is>
      </c>
    </row>
    <row r="4">
      <c r="A4" s="3" t="inlineStr">
        <is>
          <t>Asset Type</t>
        </is>
      </c>
      <c r="B4" s="3" t="inlineStr">
        <is>
          <t>Ticker</t>
        </is>
      </c>
      <c r="C4" s="3" t="inlineStr">
        <is>
          <t>Entry Price</t>
        </is>
      </c>
      <c r="D4" s="3" t="inlineStr">
        <is>
          <t>Quantity</t>
        </is>
      </c>
      <c r="E4" s="3" t="inlineStr">
        <is>
          <t>Total Cost</t>
        </is>
      </c>
      <c r="F4" s="3" t="inlineStr">
        <is>
          <t>Current Price</t>
        </is>
      </c>
      <c r="G4" s="3" t="inlineStr">
        <is>
          <t>Current Value</t>
        </is>
      </c>
      <c r="H4" s="3" t="inlineStr">
        <is>
          <t>Gain/Loss THB</t>
        </is>
      </c>
      <c r="I4" s="3" t="inlineStr">
        <is>
          <t>Gain %</t>
        </is>
      </c>
      <c r="J4" s="3" t="inlineStr">
        <is>
          <t>Target Price</t>
        </is>
      </c>
      <c r="K4" s="3" t="inlineStr">
        <is>
          <t>Action</t>
        </is>
      </c>
    </row>
    <row r="5">
      <c r="A5" t="inlineStr">
        <is>
          <t>S&amp;P 500 ETF</t>
        </is>
      </c>
      <c r="B5" t="inlineStr">
        <is>
          <t>SPY</t>
        </is>
      </c>
      <c r="C5" s="4" t="n">
        <v>330</v>
      </c>
      <c r="D5" t="n">
        <v>9</v>
      </c>
      <c r="E5" s="4">
        <f>C5*D5</f>
        <v/>
      </c>
      <c r="F5" s="4" t="n">
        <v>330</v>
      </c>
      <c r="G5" s="4">
        <f>F5*D5</f>
        <v/>
      </c>
      <c r="H5" s="4">
        <f>G5-E5</f>
        <v/>
      </c>
      <c r="I5" s="5">
        <f>IF(E5=0,0,H5/E5)</f>
        <v/>
      </c>
    </row>
    <row r="6">
      <c r="A6" t="inlineStr">
        <is>
          <t>Tech ETF</t>
        </is>
      </c>
      <c r="B6" t="inlineStr">
        <is>
          <t>QQQ</t>
        </is>
      </c>
      <c r="C6" s="4" t="n">
        <v>380</v>
      </c>
      <c r="D6" t="n">
        <v>5</v>
      </c>
      <c r="E6" s="4">
        <f>C6*D6</f>
        <v/>
      </c>
      <c r="F6" s="4" t="n">
        <v>380</v>
      </c>
      <c r="G6" s="4">
        <f>F6*D6</f>
        <v/>
      </c>
      <c r="H6" s="4">
        <f>G6-E6</f>
        <v/>
      </c>
      <c r="I6" s="5">
        <f>IF(E6=0,0,H6/E6)</f>
        <v/>
      </c>
    </row>
    <row r="7">
      <c r="A7" t="inlineStr">
        <is>
          <t>Gold ETF</t>
        </is>
      </c>
      <c r="B7" t="inlineStr">
        <is>
          <t>GLD</t>
        </is>
      </c>
      <c r="C7" s="4" t="n">
        <v>190</v>
      </c>
      <c r="D7" t="n">
        <v>8</v>
      </c>
      <c r="E7" s="4">
        <f>C7*D7</f>
        <v/>
      </c>
      <c r="F7" s="4" t="n">
        <v>190</v>
      </c>
      <c r="G7" s="4">
        <f>F7*D7</f>
        <v/>
      </c>
      <c r="H7" s="4">
        <f>G7-E7</f>
        <v/>
      </c>
      <c r="I7" s="5">
        <f>IF(E7=0,0,H7/E7)</f>
        <v/>
      </c>
    </row>
    <row r="8">
      <c r="A8" t="inlineStr">
        <is>
          <t>Bond ETF</t>
        </is>
      </c>
      <c r="B8" t="inlineStr">
        <is>
          <t>BND</t>
        </is>
      </c>
      <c r="C8" s="4" t="n">
        <v>80</v>
      </c>
      <c r="D8" t="n">
        <v>6</v>
      </c>
      <c r="E8" s="4">
        <f>C8*D8</f>
        <v/>
      </c>
      <c r="F8" s="4" t="n">
        <v>80</v>
      </c>
      <c r="G8" s="4">
        <f>F8*D8</f>
        <v/>
      </c>
      <c r="H8" s="4">
        <f>G8-E8</f>
        <v/>
      </c>
      <c r="I8" s="5">
        <f>IF(E8=0,0,H8/E8)</f>
        <v/>
      </c>
    </row>
    <row r="9">
      <c r="A9" s="6" t="inlineStr">
        <is>
          <t>CORE TOTAL</t>
        </is>
      </c>
      <c r="E9" s="7">
        <f>SUM(E5:E8)</f>
        <v/>
      </c>
      <c r="G9" s="7">
        <f>SUM(G5:G8)</f>
        <v/>
      </c>
      <c r="H9" s="7">
        <f>SUM(H5:H8)</f>
        <v/>
      </c>
    </row>
    <row r="11">
      <c r="A11" s="8" t="inlineStr">
        <is>
          <t>TRADING POSITIONS (30% - 3,000 THB)</t>
        </is>
      </c>
    </row>
    <row r="12">
      <c r="A12" s="9" t="inlineStr">
        <is>
          <t>Asset Type</t>
        </is>
      </c>
      <c r="B12" s="9" t="inlineStr">
        <is>
          <t>Ticker</t>
        </is>
      </c>
      <c r="C12" s="9" t="inlineStr">
        <is>
          <t>Entry Price</t>
        </is>
      </c>
      <c r="D12" s="9" t="inlineStr">
        <is>
          <t>Quantity</t>
        </is>
      </c>
      <c r="E12" s="9" t="inlineStr">
        <is>
          <t>Total Cost</t>
        </is>
      </c>
      <c r="F12" s="9" t="inlineStr">
        <is>
          <t>Current Price</t>
        </is>
      </c>
      <c r="G12" s="9" t="inlineStr">
        <is>
          <t>Current Value</t>
        </is>
      </c>
      <c r="H12" s="9" t="inlineStr">
        <is>
          <t>Gain/Loss THB</t>
        </is>
      </c>
      <c r="I12" s="9" t="inlineStr">
        <is>
          <t>Gain %</t>
        </is>
      </c>
      <c r="J12" s="9" t="inlineStr">
        <is>
          <t>Target Price</t>
        </is>
      </c>
      <c r="K12" s="9" t="inlineStr">
        <is>
          <t>Stop Loss</t>
        </is>
      </c>
      <c r="L12" s="9" t="inlineStr">
        <is>
          <t>Action</t>
        </is>
      </c>
    </row>
    <row r="13">
      <c r="A13" t="inlineStr">
        <is>
          <t>Bitcoin</t>
        </is>
      </c>
      <c r="B13" t="inlineStr">
        <is>
          <t>BTC-USD</t>
        </is>
      </c>
      <c r="C13" s="4" t="n">
        <v>63000</v>
      </c>
      <c r="D13" t="n">
        <v>0.02</v>
      </c>
      <c r="E13" s="4">
        <f>C13*D13</f>
        <v/>
      </c>
      <c r="F13" s="4" t="n">
        <v>63000</v>
      </c>
      <c r="G13" s="4">
        <f>F13*D13</f>
        <v/>
      </c>
      <c r="H13" s="4">
        <f>G13-E13</f>
        <v/>
      </c>
      <c r="I13" s="5">
        <f>IF(E13=0,0,H13/E13)</f>
        <v/>
      </c>
      <c r="J13" s="4" t="n">
        <v>75000</v>
      </c>
      <c r="K13" s="4" t="n">
        <v>56700</v>
      </c>
      <c r="L13" t="inlineStr">
        <is>
          <t>MONITOR</t>
        </is>
      </c>
    </row>
    <row r="14">
      <c r="A14" t="inlineStr">
        <is>
          <t>Ethereum</t>
        </is>
      </c>
      <c r="B14" t="inlineStr">
        <is>
          <t>ETH-USD</t>
        </is>
      </c>
      <c r="C14" s="4" t="n">
        <v>3500</v>
      </c>
      <c r="D14" t="n">
        <v>0.29</v>
      </c>
      <c r="E14" s="4">
        <f>C14*D14</f>
        <v/>
      </c>
      <c r="F14" s="4" t="n">
        <v>3500</v>
      </c>
      <c r="G14" s="4">
        <f>F14*D14</f>
        <v/>
      </c>
      <c r="H14" s="4">
        <f>G14-E14</f>
        <v/>
      </c>
      <c r="I14" s="5">
        <f>IF(E14=0,0,H14/E14)</f>
        <v/>
      </c>
      <c r="J14" s="4" t="n">
        <v>4500</v>
      </c>
      <c r="K14" s="4" t="n">
        <v>3150</v>
      </c>
      <c r="L14" t="inlineStr">
        <is>
          <t>MONITOR</t>
        </is>
      </c>
    </row>
    <row r="15">
      <c r="A15" s="6" t="inlineStr">
        <is>
          <t>TRADING TOTAL</t>
        </is>
      </c>
      <c r="E15" s="7">
        <f>SUM(E13:E14)</f>
        <v/>
      </c>
      <c r="G15" s="7">
        <f>SUM(G13:G14)</f>
        <v/>
      </c>
      <c r="H15" s="7">
        <f>SUM(H13:H14)</f>
        <v/>
      </c>
    </row>
    <row r="17">
      <c r="A17" s="10" t="inlineStr">
        <is>
          <t>PORTFOLIO SUMMARY</t>
        </is>
      </c>
    </row>
    <row r="18">
      <c r="A18" s="11" t="inlineStr">
        <is>
          <t>Allocation</t>
        </is>
      </c>
      <c r="B18" s="11" t="inlineStr">
        <is>
          <t>Amount (THB)</t>
        </is>
      </c>
      <c r="C18" s="11" t="inlineStr">
        <is>
          <t>% of Portfolio</t>
        </is>
      </c>
    </row>
    <row r="19">
      <c r="A19" t="inlineStr">
        <is>
          <t>Core Holdings</t>
        </is>
      </c>
      <c r="B19" s="4">
        <f>E9</f>
        <v/>
      </c>
      <c r="C19" s="5">
        <f>E9/$E$22</f>
        <v/>
      </c>
    </row>
    <row r="20">
      <c r="A20" t="inlineStr">
        <is>
          <t>Trading Book</t>
        </is>
      </c>
      <c r="B20" s="4">
        <f>E15</f>
        <v/>
      </c>
      <c r="C20" s="5">
        <f>E15/$E$22</f>
        <v/>
      </c>
    </row>
    <row r="21">
      <c r="A21" t="inlineStr">
        <is>
          <t>Cash Reserve</t>
        </is>
      </c>
      <c r="B21" s="4" t="n">
        <v>0</v>
      </c>
      <c r="C21" s="5">
        <f>D21/$E$22</f>
        <v/>
      </c>
    </row>
    <row r="22">
      <c r="A22" s="12" t="inlineStr">
        <is>
          <t>TOTAL PORTFOLIO</t>
        </is>
      </c>
      <c r="B22" s="13">
        <f>E9+E15</f>
        <v/>
      </c>
      <c r="C22" s="5" t="n">
        <v>1</v>
      </c>
    </row>
  </sheetData>
  <mergeCells count="4">
    <mergeCell ref="A17:C17"/>
    <mergeCell ref="A11:L11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2026-07-18T13:06:13Z</dcterms:created>
  <dcterms:modified xmlns:dcterms="http://purl.org/dc/terms/" xmlns:xsi="http://www.w3.org/2001/XMLSchema-instance" xsi:type="dcterms:W3CDTF">2026-07-18T13:06:13Z</dcterms:modified>
</cp:coreProperties>
</file>